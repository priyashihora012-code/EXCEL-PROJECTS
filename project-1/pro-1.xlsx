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exel\project-1\"/>
    </mc:Choice>
  </mc:AlternateContent>
  <xr:revisionPtr revIDLastSave="0" documentId="13_ncr:1_{AA21D569-1769-4994-93E5-3E14A8B9BD7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udents" sheetId="1" r:id="rId1"/>
    <sheet name="Sales" sheetId="2" r:id="rId2"/>
    <sheet name="Employe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" i="3" l="1"/>
  <c r="L11" i="3"/>
  <c r="K11" i="3"/>
  <c r="J11" i="3"/>
  <c r="H11" i="3"/>
  <c r="G11" i="3"/>
  <c r="E11" i="3"/>
  <c r="P10" i="3"/>
  <c r="M10" i="3"/>
  <c r="L10" i="3"/>
  <c r="K10" i="3"/>
  <c r="J10" i="3"/>
  <c r="H10" i="3"/>
  <c r="G10" i="3"/>
  <c r="E10" i="3"/>
  <c r="P9" i="3"/>
  <c r="M9" i="3"/>
  <c r="L9" i="3"/>
  <c r="K9" i="3"/>
  <c r="J9" i="3"/>
  <c r="H9" i="3"/>
  <c r="G9" i="3"/>
  <c r="E9" i="3"/>
  <c r="M8" i="3"/>
  <c r="L8" i="3"/>
  <c r="K8" i="3"/>
  <c r="J8" i="3"/>
  <c r="H8" i="3"/>
  <c r="G8" i="3"/>
  <c r="E8" i="3"/>
  <c r="M7" i="3"/>
  <c r="L7" i="3"/>
  <c r="K7" i="3"/>
  <c r="J7" i="3"/>
  <c r="H7" i="3"/>
  <c r="G7" i="3"/>
  <c r="E7" i="3"/>
  <c r="M6" i="3"/>
  <c r="L6" i="3"/>
  <c r="K6" i="3"/>
  <c r="J6" i="3"/>
  <c r="H6" i="3"/>
  <c r="G6" i="3"/>
  <c r="E6" i="3"/>
  <c r="P5" i="3"/>
  <c r="M5" i="3"/>
  <c r="L5" i="3"/>
  <c r="K5" i="3"/>
  <c r="J5" i="3"/>
  <c r="H5" i="3"/>
  <c r="G5" i="3"/>
  <c r="E5" i="3"/>
  <c r="M4" i="3"/>
  <c r="L4" i="3"/>
  <c r="K4" i="3"/>
  <c r="J4" i="3"/>
  <c r="H4" i="3"/>
  <c r="G4" i="3"/>
  <c r="E4" i="3"/>
  <c r="M3" i="3"/>
  <c r="L3" i="3"/>
  <c r="K3" i="3"/>
  <c r="J3" i="3"/>
  <c r="H3" i="3"/>
  <c r="G3" i="3"/>
  <c r="E3" i="3"/>
  <c r="M2" i="3"/>
  <c r="L2" i="3"/>
  <c r="K2" i="3"/>
  <c r="J2" i="3"/>
  <c r="H2" i="3"/>
  <c r="G2" i="3"/>
  <c r="E2" i="3"/>
  <c r="L28" i="2"/>
  <c r="L27" i="2"/>
  <c r="N26" i="2"/>
  <c r="L26" i="2"/>
  <c r="N25" i="2"/>
  <c r="M25" i="2"/>
  <c r="M24" i="2"/>
  <c r="L19" i="2"/>
  <c r="G11" i="2"/>
  <c r="I11" i="2" s="1"/>
  <c r="L10" i="2"/>
  <c r="G10" i="2"/>
  <c r="I10" i="2" s="1"/>
  <c r="I9" i="2"/>
  <c r="G9" i="2"/>
  <c r="H9" i="2" s="1"/>
  <c r="I8" i="2"/>
  <c r="H8" i="2"/>
  <c r="G8" i="2"/>
  <c r="G7" i="2"/>
  <c r="I7" i="2" s="1"/>
  <c r="G6" i="2"/>
  <c r="I6" i="2" s="1"/>
  <c r="I5" i="2"/>
  <c r="G5" i="2"/>
  <c r="H5" i="2" s="1"/>
  <c r="M27" i="2" s="1"/>
  <c r="I4" i="2"/>
  <c r="H4" i="2"/>
  <c r="M26" i="2" s="1"/>
  <c r="L33" i="2" s="1"/>
  <c r="G4" i="2"/>
  <c r="G3" i="2"/>
  <c r="I3" i="2" s="1"/>
  <c r="G2" i="2"/>
  <c r="I2" i="2" s="1"/>
  <c r="M11" i="1"/>
  <c r="L11" i="1"/>
  <c r="K11" i="1"/>
  <c r="J11" i="1"/>
  <c r="G11" i="1"/>
  <c r="H11" i="1" s="1"/>
  <c r="I11" i="1" s="1"/>
  <c r="D11" i="1"/>
  <c r="M10" i="1"/>
  <c r="L10" i="1"/>
  <c r="K10" i="1"/>
  <c r="J10" i="1"/>
  <c r="G10" i="1"/>
  <c r="H10" i="1" s="1"/>
  <c r="I10" i="1" s="1"/>
  <c r="D10" i="1"/>
  <c r="P9" i="1"/>
  <c r="M9" i="1"/>
  <c r="L9" i="1"/>
  <c r="K9" i="1"/>
  <c r="J9" i="1"/>
  <c r="H9" i="1"/>
  <c r="I9" i="1" s="1"/>
  <c r="G9" i="1"/>
  <c r="D9" i="1"/>
  <c r="M8" i="1"/>
  <c r="L8" i="1"/>
  <c r="K8" i="1"/>
  <c r="J8" i="1"/>
  <c r="H8" i="1"/>
  <c r="I8" i="1" s="1"/>
  <c r="G8" i="1"/>
  <c r="D8" i="1"/>
  <c r="M7" i="1"/>
  <c r="L7" i="1"/>
  <c r="K7" i="1"/>
  <c r="J7" i="1"/>
  <c r="H7" i="1"/>
  <c r="I7" i="1" s="1"/>
  <c r="G7" i="1"/>
  <c r="D7" i="1"/>
  <c r="M6" i="1"/>
  <c r="L6" i="1"/>
  <c r="K6" i="1"/>
  <c r="J6" i="1"/>
  <c r="G6" i="1"/>
  <c r="H6" i="1" s="1"/>
  <c r="I6" i="1" s="1"/>
  <c r="D6" i="1"/>
  <c r="M5" i="1"/>
  <c r="L5" i="1"/>
  <c r="K5" i="1"/>
  <c r="J5" i="1"/>
  <c r="G5" i="1"/>
  <c r="H5" i="1" s="1"/>
  <c r="I5" i="1" s="1"/>
  <c r="D5" i="1"/>
  <c r="M4" i="1"/>
  <c r="L4" i="1"/>
  <c r="K4" i="1"/>
  <c r="J4" i="1"/>
  <c r="G4" i="1"/>
  <c r="H4" i="1" s="1"/>
  <c r="I4" i="1" s="1"/>
  <c r="D4" i="1"/>
  <c r="M3" i="1"/>
  <c r="L3" i="1"/>
  <c r="K3" i="1"/>
  <c r="J3" i="1"/>
  <c r="G3" i="1"/>
  <c r="H3" i="1" s="1"/>
  <c r="I3" i="1" s="1"/>
  <c r="D3" i="1"/>
  <c r="M2" i="1"/>
  <c r="L2" i="1"/>
  <c r="K2" i="1"/>
  <c r="J2" i="1"/>
  <c r="P11" i="1" s="1" a="1"/>
  <c r="G2" i="1"/>
  <c r="H2" i="1" s="1"/>
  <c r="D2" i="1"/>
  <c r="P1" i="1"/>
  <c r="P11" i="1" l="1"/>
  <c r="P14" i="1"/>
  <c r="P15" i="1"/>
  <c r="P13" i="1"/>
  <c r="P12" i="1"/>
  <c r="I2" i="1"/>
  <c r="P6" i="1"/>
  <c r="P4" i="1"/>
  <c r="H3" i="2"/>
  <c r="H6" i="2"/>
  <c r="N24" i="2" s="1"/>
  <c r="H11" i="2"/>
  <c r="M28" i="2" s="1"/>
  <c r="H7" i="2"/>
  <c r="N28" i="2" s="1"/>
  <c r="H2" i="2"/>
  <c r="H10" i="2"/>
  <c r="N27" i="2" s="1"/>
  <c r="L37" i="2"/>
  <c r="L41" i="2" l="1"/>
  <c r="L24" i="2"/>
  <c r="L15" i="2"/>
  <c r="L25" i="2"/>
</calcChain>
</file>

<file path=xl/sharedStrings.xml><?xml version="1.0" encoding="utf-8"?>
<sst xmlns="http://schemas.openxmlformats.org/spreadsheetml/2006/main" count="202" uniqueCount="129">
  <si>
    <t>Student ID</t>
  </si>
  <si>
    <t>Full Name</t>
  </si>
  <si>
    <t>Date of Birth</t>
  </si>
  <si>
    <t>age</t>
  </si>
  <si>
    <t>Math</t>
  </si>
  <si>
    <t>Science</t>
  </si>
  <si>
    <t>Total</t>
  </si>
  <si>
    <t>Average</t>
  </si>
  <si>
    <t>Grade</t>
  </si>
  <si>
    <t>Both &gt; 80</t>
  </si>
  <si>
    <t>First Name (LEFT + FIND)</t>
  </si>
  <si>
    <t>Upper Name</t>
  </si>
  <si>
    <t>Lower Name</t>
  </si>
  <si>
    <t>Students scoring above 50 in Math</t>
  </si>
  <si>
    <t>S101</t>
  </si>
  <si>
    <t>Aarav Sharma</t>
  </si>
  <si>
    <t>S102</t>
  </si>
  <si>
    <t>Priya Patel</t>
  </si>
  <si>
    <t>S103</t>
  </si>
  <si>
    <t>Riya Shah</t>
  </si>
  <si>
    <t>Students score above 60</t>
  </si>
  <si>
    <t>S104</t>
  </si>
  <si>
    <t>Rahul Mehta</t>
  </si>
  <si>
    <t>S105</t>
  </si>
  <si>
    <t>Neha Joshi</t>
  </si>
  <si>
    <t>Average Students score above 60</t>
  </si>
  <si>
    <t>S106</t>
  </si>
  <si>
    <t>Karan Desai</t>
  </si>
  <si>
    <t>S107</t>
  </si>
  <si>
    <t>Isha Shah</t>
  </si>
  <si>
    <t xml:space="preserve">Student ID </t>
  </si>
  <si>
    <t>S108</t>
  </si>
  <si>
    <t>Dev Patel</t>
  </si>
  <si>
    <t>Student Name</t>
  </si>
  <si>
    <t>S109</t>
  </si>
  <si>
    <t>Anaya Mehta</t>
  </si>
  <si>
    <t>S110</t>
  </si>
  <si>
    <t>Vivek Shah</t>
  </si>
  <si>
    <t>students with grades above 80.</t>
  </si>
  <si>
    <t>Sales ID</t>
  </si>
  <si>
    <t>Salesperson</t>
  </si>
  <si>
    <t>Region</t>
  </si>
  <si>
    <t>Product Code</t>
  </si>
  <si>
    <t>Units Sold</t>
  </si>
  <si>
    <t>Month</t>
  </si>
  <si>
    <t>Product_Price(Vlookup)</t>
  </si>
  <si>
    <t>Total Sale</t>
  </si>
  <si>
    <t xml:space="preserve">Discount Eligible(IF+OR) </t>
  </si>
  <si>
    <t>Product Master (VLOOKUP/XMATCH)</t>
  </si>
  <si>
    <t>SL101</t>
  </si>
  <si>
    <t>Rahul</t>
  </si>
  <si>
    <t>North</t>
  </si>
  <si>
    <t>P103</t>
  </si>
  <si>
    <t>January</t>
  </si>
  <si>
    <t>Product Name</t>
  </si>
  <si>
    <t>Price</t>
  </si>
  <si>
    <t>SL102</t>
  </si>
  <si>
    <t>Priya</t>
  </si>
  <si>
    <t>South</t>
  </si>
  <si>
    <t>P101</t>
  </si>
  <si>
    <t>Wireless Mouse</t>
  </si>
  <si>
    <t>SL103</t>
  </si>
  <si>
    <t>Karan</t>
  </si>
  <si>
    <t>P102</t>
  </si>
  <si>
    <t>February</t>
  </si>
  <si>
    <t>Keyboard</t>
  </si>
  <si>
    <t>SL104</t>
  </si>
  <si>
    <t>Neha</t>
  </si>
  <si>
    <t>West</t>
  </si>
  <si>
    <t>P104</t>
  </si>
  <si>
    <t>Moniter 24"</t>
  </si>
  <si>
    <t>SL105</t>
  </si>
  <si>
    <t>March</t>
  </si>
  <si>
    <t>Laptop Stand</t>
  </si>
  <si>
    <t>SL106</t>
  </si>
  <si>
    <t>Isha</t>
  </si>
  <si>
    <t>P105</t>
  </si>
  <si>
    <t>USB-C Hub</t>
  </si>
  <si>
    <t>SL107</t>
  </si>
  <si>
    <t>SL108</t>
  </si>
  <si>
    <t>Find Product Code</t>
  </si>
  <si>
    <t>SL109</t>
  </si>
  <si>
    <t>Position (XMATCH)</t>
  </si>
  <si>
    <t>SL110</t>
  </si>
  <si>
    <t>Total Sale for Region + Product (SUMIFS)</t>
  </si>
  <si>
    <t>Search Salesperson (XLOOKUP)</t>
  </si>
  <si>
    <t>Salesperson-wise Monthly Sales (for INDEX/MATCH)</t>
  </si>
  <si>
    <t xml:space="preserve">Salesperson </t>
  </si>
  <si>
    <t>Find sale for Salesperson &amp; Month (INDEX/MATCH)</t>
  </si>
  <si>
    <t>Sale Value</t>
  </si>
  <si>
    <t>INDIRECT - Dynamic Range Sum</t>
  </si>
  <si>
    <t>Range (as text)</t>
  </si>
  <si>
    <t>H2:H11</t>
  </si>
  <si>
    <t>Sum of Range</t>
  </si>
  <si>
    <t>OFFSET -Dynamic Trend(last N sales total)</t>
  </si>
  <si>
    <t>N (recent sales)</t>
  </si>
  <si>
    <t>Sum of last N Total Sale =</t>
  </si>
  <si>
    <t>Emp id</t>
  </si>
  <si>
    <t>Emp Name</t>
  </si>
  <si>
    <t>Department</t>
  </si>
  <si>
    <t>Age</t>
  </si>
  <si>
    <t>Date of joining</t>
  </si>
  <si>
    <t>Year of Service</t>
  </si>
  <si>
    <t>Days since joining</t>
  </si>
  <si>
    <t>Salary</t>
  </si>
  <si>
    <t>Bonus Amount(10%)</t>
  </si>
  <si>
    <t>Salary Rounded</t>
  </si>
  <si>
    <t>Salary ceiling (500)</t>
  </si>
  <si>
    <t>Salary Floor (500)</t>
  </si>
  <si>
    <t>Bonus Rate (Absolute Ref)</t>
  </si>
  <si>
    <t>E101</t>
  </si>
  <si>
    <t>IT</t>
  </si>
  <si>
    <t>E102</t>
  </si>
  <si>
    <t>HR</t>
  </si>
  <si>
    <t>XLOOKUP - Find Salary by Emp ID</t>
  </si>
  <si>
    <t>E103</t>
  </si>
  <si>
    <t>Finance</t>
  </si>
  <si>
    <t>Emp ID</t>
  </si>
  <si>
    <t>E105</t>
  </si>
  <si>
    <t>E104</t>
  </si>
  <si>
    <t>Marketing</t>
  </si>
  <si>
    <t>E106</t>
  </si>
  <si>
    <t>INDEX/MATCH - Employee Details</t>
  </si>
  <si>
    <t>E107</t>
  </si>
  <si>
    <t>E109</t>
  </si>
  <si>
    <t>E108</t>
  </si>
  <si>
    <t>Dpartment</t>
  </si>
  <si>
    <t>Date of Joining</t>
  </si>
  <si>
    <t>E110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</si>
</sst>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.5"/>
      <name val="Times New Roman"/>
      <family val="1"/>
    </font>
    <font>
      <b/>
      <sz val="10.5"/>
      <color rgb="FF1F4E78"/>
      <name val="Times New Roman"/>
      <family val="1"/>
    </font>
    <font>
      <b/>
      <sz val="10.5"/>
      <color rgb="FF00000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2F6FC"/>
        <bgColor rgb="FFFFFFFF"/>
      </patternFill>
    </fill>
    <fill>
      <patternFill patternType="solid">
        <fgColor rgb="FFDCE6F1"/>
        <bgColor rgb="FFF2F6FC"/>
      </patternFill>
    </fill>
    <fill>
      <patternFill patternType="solid">
        <fgColor rgb="FFFFFFFF"/>
        <bgColor rgb="FFF2F6FC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165" fontId="7" fillId="0" borderId="0" xfId="0" applyNumberFormat="1" applyFont="1"/>
    <xf numFmtId="9" fontId="6" fillId="0" borderId="1" xfId="0" applyNumberFormat="1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workbookViewId="0">
      <pane ySplit="1" topLeftCell="A2" activePane="bottomLeft" state="frozen"/>
      <selection activeCell="G1" sqref="G1"/>
      <selection pane="bottomLeft" activeCell="P6" sqref="P6"/>
    </sheetView>
  </sheetViews>
  <sheetFormatPr defaultColWidth="8.7265625" defaultRowHeight="14" x14ac:dyDescent="0.3"/>
  <cols>
    <col min="1" max="1" width="12" style="2" customWidth="1"/>
    <col min="2" max="2" width="18" style="2" customWidth="1"/>
    <col min="3" max="4" width="14" style="2" customWidth="1"/>
    <col min="5" max="9" width="8" style="2" customWidth="1"/>
    <col min="10" max="10" width="11" style="2" customWidth="1"/>
    <col min="11" max="11" width="14" style="2" customWidth="1"/>
    <col min="12" max="13" width="16" style="2" customWidth="1"/>
    <col min="14" max="14" width="3" style="2" customWidth="1"/>
    <col min="15" max="15" width="30" style="2" customWidth="1"/>
    <col min="16" max="16" width="16" style="2" customWidth="1"/>
    <col min="17" max="16384" width="8.7265625" style="2"/>
  </cols>
  <sheetData>
    <row r="1" spans="1:16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 t="s">
        <v>13</v>
      </c>
      <c r="P1" s="4">
        <f>COUNTIF(E2:E11,"&gt;50")</f>
        <v>8</v>
      </c>
    </row>
    <row r="2" spans="1:16" ht="13.5" customHeight="1" x14ac:dyDescent="0.3">
      <c r="A2" s="5" t="s">
        <v>14</v>
      </c>
      <c r="B2" s="6" t="s">
        <v>15</v>
      </c>
      <c r="C2" s="7">
        <v>38367</v>
      </c>
      <c r="D2" s="5">
        <f t="shared" ref="D2:D11" ca="1" si="0">DATEDIF(C2,TODAY(),"Y")</f>
        <v>21</v>
      </c>
      <c r="E2" s="5">
        <v>85</v>
      </c>
      <c r="F2" s="5">
        <v>88</v>
      </c>
      <c r="G2" s="5">
        <f t="shared" ref="G2:G11" si="1">E2+F2</f>
        <v>173</v>
      </c>
      <c r="H2" s="5">
        <f t="shared" ref="H2:H11" si="2">G2/2</f>
        <v>86.5</v>
      </c>
      <c r="I2" s="5" t="str">
        <f t="shared" ref="I2:I11" si="3">IF(H2&gt;=90,"A",IF(H2&gt;=75,"B",IF(H2&gt;=60,"C",IF(H2&gt;=40,"D","F"))))</f>
        <v>B</v>
      </c>
      <c r="J2" s="5" t="str">
        <f t="shared" ref="J2:J11" si="4">IF(AND(E2&gt;80,F2&gt;80),"Yes","No")</f>
        <v>Yes</v>
      </c>
      <c r="K2" s="5" t="str">
        <f t="shared" ref="K2:K11" si="5">LEFT(B2,FIND(" ",B2)-1)</f>
        <v>Aarav</v>
      </c>
      <c r="L2" s="5" t="str">
        <f t="shared" ref="L2:L11" si="6">UPPER(B2)</f>
        <v>AARAV SHARMA</v>
      </c>
      <c r="M2" s="5" t="str">
        <f t="shared" ref="M2:M11" si="7">LOWER(B2)</f>
        <v>aarav sharma</v>
      </c>
    </row>
    <row r="3" spans="1:16" ht="13.5" customHeight="1" x14ac:dyDescent="0.3">
      <c r="A3" s="8" t="s">
        <v>16</v>
      </c>
      <c r="B3" s="9" t="s">
        <v>17</v>
      </c>
      <c r="C3" s="10">
        <v>38433</v>
      </c>
      <c r="D3" s="8">
        <f t="shared" ca="1" si="0"/>
        <v>21</v>
      </c>
      <c r="E3" s="8">
        <v>72</v>
      </c>
      <c r="F3" s="8">
        <v>79</v>
      </c>
      <c r="G3" s="8">
        <f t="shared" si="1"/>
        <v>151</v>
      </c>
      <c r="H3" s="8">
        <f t="shared" si="2"/>
        <v>75.5</v>
      </c>
      <c r="I3" s="8" t="str">
        <f t="shared" si="3"/>
        <v>B</v>
      </c>
      <c r="J3" s="8" t="str">
        <f t="shared" si="4"/>
        <v>No</v>
      </c>
      <c r="K3" s="8" t="str">
        <f t="shared" si="5"/>
        <v>Priya</v>
      </c>
      <c r="L3" s="8" t="str">
        <f t="shared" si="6"/>
        <v>PRIYA PATEL</v>
      </c>
      <c r="M3" s="8" t="str">
        <f t="shared" si="7"/>
        <v>priya patel</v>
      </c>
    </row>
    <row r="4" spans="1:16" ht="19.5" customHeight="1" x14ac:dyDescent="0.3">
      <c r="A4" s="5" t="s">
        <v>18</v>
      </c>
      <c r="B4" s="6" t="s">
        <v>19</v>
      </c>
      <c r="C4" s="7">
        <v>38148</v>
      </c>
      <c r="D4" s="5">
        <f t="shared" ca="1" si="0"/>
        <v>22</v>
      </c>
      <c r="E4" s="5">
        <v>91</v>
      </c>
      <c r="F4" s="5">
        <v>94</v>
      </c>
      <c r="G4" s="5">
        <f t="shared" si="1"/>
        <v>185</v>
      </c>
      <c r="H4" s="5">
        <f t="shared" si="2"/>
        <v>92.5</v>
      </c>
      <c r="I4" s="5" t="str">
        <f t="shared" si="3"/>
        <v>A</v>
      </c>
      <c r="J4" s="5" t="str">
        <f t="shared" si="4"/>
        <v>Yes</v>
      </c>
      <c r="K4" s="5" t="str">
        <f t="shared" si="5"/>
        <v>Riya</v>
      </c>
      <c r="L4" s="5" t="str">
        <f t="shared" si="6"/>
        <v>RIYA SHAH</v>
      </c>
      <c r="M4" s="5" t="str">
        <f t="shared" si="7"/>
        <v>riya shah</v>
      </c>
      <c r="O4" s="3" t="s">
        <v>20</v>
      </c>
      <c r="P4" s="11">
        <f>COUNTIFS(H2:H11,"&gt;60")</f>
        <v>7</v>
      </c>
    </row>
    <row r="5" spans="1:16" ht="13.5" customHeight="1" x14ac:dyDescent="0.3">
      <c r="A5" s="8" t="s">
        <v>21</v>
      </c>
      <c r="B5" s="9" t="s">
        <v>22</v>
      </c>
      <c r="C5" s="10">
        <v>38388</v>
      </c>
      <c r="D5" s="8">
        <f t="shared" ca="1" si="0"/>
        <v>21</v>
      </c>
      <c r="E5" s="8">
        <v>48</v>
      </c>
      <c r="F5" s="8">
        <v>67</v>
      </c>
      <c r="G5" s="8">
        <f t="shared" si="1"/>
        <v>115</v>
      </c>
      <c r="H5" s="8">
        <f t="shared" si="2"/>
        <v>57.5</v>
      </c>
      <c r="I5" s="8" t="str">
        <f t="shared" si="3"/>
        <v>D</v>
      </c>
      <c r="J5" s="8" t="str">
        <f t="shared" si="4"/>
        <v>No</v>
      </c>
      <c r="K5" s="8" t="str">
        <f t="shared" si="5"/>
        <v>Rahul</v>
      </c>
      <c r="L5" s="8" t="str">
        <f t="shared" si="6"/>
        <v>RAHUL MEHTA</v>
      </c>
      <c r="M5" s="8" t="str">
        <f t="shared" si="7"/>
        <v>rahul mehta</v>
      </c>
    </row>
    <row r="6" spans="1:16" ht="19.5" customHeight="1" x14ac:dyDescent="0.3">
      <c r="A6" s="5" t="s">
        <v>23</v>
      </c>
      <c r="B6" s="6" t="s">
        <v>24</v>
      </c>
      <c r="C6" s="7">
        <v>38217</v>
      </c>
      <c r="D6" s="5">
        <f t="shared" ca="1" si="0"/>
        <v>22</v>
      </c>
      <c r="E6" s="5">
        <v>89</v>
      </c>
      <c r="F6" s="5">
        <v>90</v>
      </c>
      <c r="G6" s="5">
        <f t="shared" si="1"/>
        <v>179</v>
      </c>
      <c r="H6" s="5">
        <f t="shared" si="2"/>
        <v>89.5</v>
      </c>
      <c r="I6" s="5" t="str">
        <f t="shared" si="3"/>
        <v>B</v>
      </c>
      <c r="J6" s="5" t="str">
        <f t="shared" si="4"/>
        <v>Yes</v>
      </c>
      <c r="K6" s="5" t="str">
        <f t="shared" si="5"/>
        <v>Neha</v>
      </c>
      <c r="L6" s="5" t="str">
        <f t="shared" si="6"/>
        <v>NEHA JOSHI</v>
      </c>
      <c r="M6" s="5" t="str">
        <f t="shared" si="7"/>
        <v>neha joshi</v>
      </c>
      <c r="O6" s="3" t="s">
        <v>25</v>
      </c>
      <c r="P6" s="12">
        <f>AVERAGEIFS(H2:H11,H2:H11,"&gt;60")</f>
        <v>83.785714285714292</v>
      </c>
    </row>
    <row r="7" spans="1:16" ht="13.5" customHeight="1" x14ac:dyDescent="0.3">
      <c r="A7" s="8" t="s">
        <v>26</v>
      </c>
      <c r="B7" s="9" t="s">
        <v>27</v>
      </c>
      <c r="C7" s="10">
        <v>38686</v>
      </c>
      <c r="D7" s="8">
        <f t="shared" ca="1" si="0"/>
        <v>20</v>
      </c>
      <c r="E7" s="8">
        <v>55</v>
      </c>
      <c r="F7" s="8">
        <v>52</v>
      </c>
      <c r="G7" s="8">
        <f t="shared" si="1"/>
        <v>107</v>
      </c>
      <c r="H7" s="8">
        <f t="shared" si="2"/>
        <v>53.5</v>
      </c>
      <c r="I7" s="8" t="str">
        <f t="shared" si="3"/>
        <v>D</v>
      </c>
      <c r="J7" s="8" t="str">
        <f t="shared" si="4"/>
        <v>No</v>
      </c>
      <c r="K7" s="8" t="str">
        <f t="shared" si="5"/>
        <v>Karan</v>
      </c>
      <c r="L7" s="8" t="str">
        <f t="shared" si="6"/>
        <v>KARAN DESAI</v>
      </c>
      <c r="M7" s="8" t="str">
        <f t="shared" si="7"/>
        <v>karan desai</v>
      </c>
    </row>
    <row r="8" spans="1:16" ht="13.5" customHeight="1" x14ac:dyDescent="0.3">
      <c r="A8" s="5" t="s">
        <v>28</v>
      </c>
      <c r="B8" s="6" t="s">
        <v>29</v>
      </c>
      <c r="C8" s="7">
        <v>38454</v>
      </c>
      <c r="D8" s="5">
        <f t="shared" ca="1" si="0"/>
        <v>21</v>
      </c>
      <c r="E8" s="5">
        <v>81</v>
      </c>
      <c r="F8" s="5">
        <v>83</v>
      </c>
      <c r="G8" s="5">
        <f t="shared" si="1"/>
        <v>164</v>
      </c>
      <c r="H8" s="5">
        <f t="shared" si="2"/>
        <v>82</v>
      </c>
      <c r="I8" s="5" t="str">
        <f t="shared" si="3"/>
        <v>B</v>
      </c>
      <c r="J8" s="5" t="str">
        <f t="shared" si="4"/>
        <v>Yes</v>
      </c>
      <c r="K8" s="5" t="str">
        <f t="shared" si="5"/>
        <v>Isha</v>
      </c>
      <c r="L8" s="5" t="str">
        <f t="shared" si="6"/>
        <v>ISHA SHAH</v>
      </c>
      <c r="M8" s="5" t="str">
        <f t="shared" si="7"/>
        <v>isha shah</v>
      </c>
      <c r="O8" s="13" t="s">
        <v>30</v>
      </c>
      <c r="P8" s="14" t="s">
        <v>16</v>
      </c>
    </row>
    <row r="9" spans="1:16" ht="13.5" customHeight="1" x14ac:dyDescent="0.3">
      <c r="A9" s="8" t="s">
        <v>31</v>
      </c>
      <c r="B9" s="9" t="s">
        <v>32</v>
      </c>
      <c r="C9" s="10">
        <v>38239</v>
      </c>
      <c r="D9" s="8">
        <f t="shared" ca="1" si="0"/>
        <v>21</v>
      </c>
      <c r="E9" s="8">
        <v>39</v>
      </c>
      <c r="F9" s="8">
        <v>45</v>
      </c>
      <c r="G9" s="8">
        <f t="shared" si="1"/>
        <v>84</v>
      </c>
      <c r="H9" s="8">
        <f t="shared" si="2"/>
        <v>42</v>
      </c>
      <c r="I9" s="8" t="str">
        <f t="shared" si="3"/>
        <v>D</v>
      </c>
      <c r="J9" s="8" t="str">
        <f t="shared" si="4"/>
        <v>No</v>
      </c>
      <c r="K9" s="8" t="str">
        <f t="shared" si="5"/>
        <v>Dev</v>
      </c>
      <c r="L9" s="8" t="str">
        <f t="shared" si="6"/>
        <v>DEV PATEL</v>
      </c>
      <c r="M9" s="8" t="str">
        <f t="shared" si="7"/>
        <v>dev patel</v>
      </c>
      <c r="O9" s="13" t="s">
        <v>33</v>
      </c>
      <c r="P9" s="14" t="str">
        <f>VLOOKUP(P8,A2:B11,2,FALSE())</f>
        <v>Priya Patel</v>
      </c>
    </row>
    <row r="10" spans="1:16" ht="13.5" customHeight="1" x14ac:dyDescent="0.3">
      <c r="A10" s="5" t="s">
        <v>34</v>
      </c>
      <c r="B10" s="6" t="s">
        <v>35</v>
      </c>
      <c r="C10" s="7">
        <v>38711</v>
      </c>
      <c r="D10" s="5">
        <f t="shared" ca="1" si="0"/>
        <v>20</v>
      </c>
      <c r="E10" s="5">
        <v>68</v>
      </c>
      <c r="F10" s="5">
        <v>72</v>
      </c>
      <c r="G10" s="5">
        <f t="shared" si="1"/>
        <v>140</v>
      </c>
      <c r="H10" s="5">
        <f t="shared" si="2"/>
        <v>70</v>
      </c>
      <c r="I10" s="5" t="str">
        <f t="shared" si="3"/>
        <v>C</v>
      </c>
      <c r="J10" s="5" t="str">
        <f t="shared" si="4"/>
        <v>No</v>
      </c>
      <c r="K10" s="5" t="str">
        <f t="shared" si="5"/>
        <v>Anaya</v>
      </c>
      <c r="L10" s="5" t="str">
        <f t="shared" si="6"/>
        <v>ANAYA MEHTA</v>
      </c>
      <c r="M10" s="5" t="str">
        <f t="shared" si="7"/>
        <v>anaya mehta</v>
      </c>
    </row>
    <row r="11" spans="1:16" ht="19.5" customHeight="1" x14ac:dyDescent="0.3">
      <c r="A11" s="8" t="s">
        <v>36</v>
      </c>
      <c r="B11" s="9" t="s">
        <v>37</v>
      </c>
      <c r="C11" s="10">
        <v>38182</v>
      </c>
      <c r="D11" s="8">
        <f t="shared" ca="1" si="0"/>
        <v>22</v>
      </c>
      <c r="E11" s="8">
        <v>95</v>
      </c>
      <c r="F11" s="8">
        <v>86</v>
      </c>
      <c r="G11" s="8">
        <f t="shared" si="1"/>
        <v>181</v>
      </c>
      <c r="H11" s="8">
        <f t="shared" si="2"/>
        <v>90.5</v>
      </c>
      <c r="I11" s="8" t="str">
        <f t="shared" si="3"/>
        <v>A</v>
      </c>
      <c r="J11" s="8" t="str">
        <f t="shared" si="4"/>
        <v>Yes</v>
      </c>
      <c r="K11" s="8" t="str">
        <f t="shared" si="5"/>
        <v>Vivek</v>
      </c>
      <c r="L11" s="8" t="str">
        <f t="shared" si="6"/>
        <v>VIVEK SHAH</v>
      </c>
      <c r="M11" s="8" t="str">
        <f t="shared" si="7"/>
        <v>vivek shah</v>
      </c>
      <c r="O11" s="3" t="s">
        <v>38</v>
      </c>
      <c r="P11" s="15" t="str">
        <f t="array" ref="P11:P15">_xlfn._xlws.FILTER(B2:B11,J2:J11="Yes")</f>
        <v>Aarav Sharma</v>
      </c>
    </row>
    <row r="12" spans="1:16" ht="13.5" customHeight="1" x14ac:dyDescent="0.3">
      <c r="P12" s="16" t="str">
        <v>Riya Shah</v>
      </c>
    </row>
    <row r="13" spans="1:16" ht="13.5" customHeight="1" x14ac:dyDescent="0.3">
      <c r="P13" s="17" t="str">
        <v>Neha Joshi</v>
      </c>
    </row>
    <row r="14" spans="1:16" ht="13.5" customHeight="1" x14ac:dyDescent="0.3">
      <c r="P14" s="16" t="str">
        <v>Isha Shah</v>
      </c>
    </row>
    <row r="15" spans="1:16" ht="13.5" customHeight="1" x14ac:dyDescent="0.3">
      <c r="P15" s="17" t="str">
        <v>Vivek Shah</v>
      </c>
    </row>
  </sheetData>
  <conditionalFormatting sqref="I2:I11">
    <cfRule type="cellIs" dxfId="8" priority="2" operator="equal">
      <formula>"A"</formula>
    </cfRule>
    <cfRule type="cellIs" dxfId="7" priority="3" operator="equal">
      <formula>"B"</formula>
    </cfRule>
    <cfRule type="cellIs" dxfId="6" priority="4" operator="equal">
      <formula>"C"</formula>
    </cfRule>
    <cfRule type="cellIs" dxfId="5" priority="5" operator="equal">
      <formula>"D"</formula>
    </cfRule>
    <cfRule type="cellIs" dxfId="4" priority="6" operator="equal">
      <formula>"F"</formula>
    </cfRule>
  </conditionalFormatting>
  <conditionalFormatting sqref="J2:J11">
    <cfRule type="cellIs" dxfId="3" priority="7" operator="equal">
      <formula>"Yes"</formula>
    </cfRule>
    <cfRule type="cellIs" dxfId="2" priority="8" operator="equal">
      <formula>"No"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zoomScaleNormal="100" workbookViewId="0">
      <pane ySplit="1" topLeftCell="A2" activePane="bottomLeft" state="frozen"/>
      <selection activeCell="C1" sqref="C1"/>
      <selection pane="bottomLeft" activeCell="G17" sqref="G17"/>
    </sheetView>
  </sheetViews>
  <sheetFormatPr defaultColWidth="10" defaultRowHeight="14" x14ac:dyDescent="0.3"/>
  <cols>
    <col min="1" max="1" width="11" style="2" customWidth="1"/>
    <col min="2" max="2" width="13" style="2" customWidth="1"/>
    <col min="3" max="3" width="9" style="2" customWidth="1"/>
    <col min="4" max="4" width="13" style="2" customWidth="1"/>
    <col min="5" max="5" width="11" style="2" customWidth="1"/>
    <col min="6" max="6" width="10" style="2"/>
    <col min="7" max="7" width="20" style="2" customWidth="1"/>
    <col min="8" max="8" width="12" style="2" customWidth="1"/>
    <col min="9" max="9" width="20" style="2" customWidth="1"/>
    <col min="10" max="10" width="3" style="2" customWidth="1"/>
    <col min="11" max="11" width="34" style="2" customWidth="1"/>
    <col min="12" max="12" width="16" style="2" customWidth="1"/>
    <col min="13" max="13" width="14" style="2" customWidth="1"/>
    <col min="14" max="16384" width="10" style="2"/>
  </cols>
  <sheetData>
    <row r="1" spans="1:13" ht="31.5" customHeight="1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K1" s="29" t="s">
        <v>48</v>
      </c>
      <c r="L1" s="29"/>
      <c r="M1" s="29"/>
    </row>
    <row r="2" spans="1:13" ht="19.5" customHeight="1" x14ac:dyDescent="0.3">
      <c r="A2" s="5" t="s">
        <v>49</v>
      </c>
      <c r="B2" s="6" t="s">
        <v>50</v>
      </c>
      <c r="C2" s="5" t="s">
        <v>51</v>
      </c>
      <c r="D2" s="5" t="s">
        <v>52</v>
      </c>
      <c r="E2" s="5">
        <v>12</v>
      </c>
      <c r="F2" s="5" t="s">
        <v>53</v>
      </c>
      <c r="G2" s="18">
        <f t="shared" ref="G2:G11" si="0">VLOOKUP(D2,$K$3:$M$7,3,FALSE())</f>
        <v>7500</v>
      </c>
      <c r="H2" s="18">
        <f t="shared" ref="H2:H11" si="1">G2*E2</f>
        <v>90000</v>
      </c>
      <c r="I2" s="5" t="str">
        <f t="shared" ref="I2:I11" si="2">IF(OR(G2&gt;3000,E2&gt;15),"Yes","No")</f>
        <v>Yes</v>
      </c>
      <c r="K2" s="19" t="s">
        <v>42</v>
      </c>
      <c r="L2" s="19" t="s">
        <v>54</v>
      </c>
      <c r="M2" s="19" t="s">
        <v>55</v>
      </c>
    </row>
    <row r="3" spans="1:13" ht="13.5" customHeight="1" x14ac:dyDescent="0.3">
      <c r="A3" s="8" t="s">
        <v>56</v>
      </c>
      <c r="B3" s="9" t="s">
        <v>57</v>
      </c>
      <c r="C3" s="8" t="s">
        <v>58</v>
      </c>
      <c r="D3" s="8" t="s">
        <v>59</v>
      </c>
      <c r="E3" s="8">
        <v>5</v>
      </c>
      <c r="F3" s="8" t="s">
        <v>53</v>
      </c>
      <c r="G3" s="20">
        <f t="shared" si="0"/>
        <v>450</v>
      </c>
      <c r="H3" s="20">
        <f t="shared" si="1"/>
        <v>2250</v>
      </c>
      <c r="I3" s="8" t="str">
        <f t="shared" si="2"/>
        <v>No</v>
      </c>
      <c r="K3" s="8" t="s">
        <v>59</v>
      </c>
      <c r="L3" s="9" t="s">
        <v>60</v>
      </c>
      <c r="M3" s="20">
        <v>450</v>
      </c>
    </row>
    <row r="4" spans="1:13" ht="13.5" customHeight="1" x14ac:dyDescent="0.3">
      <c r="A4" s="5" t="s">
        <v>61</v>
      </c>
      <c r="B4" s="6" t="s">
        <v>62</v>
      </c>
      <c r="C4" s="5" t="s">
        <v>51</v>
      </c>
      <c r="D4" s="5" t="s">
        <v>63</v>
      </c>
      <c r="E4" s="5">
        <v>20</v>
      </c>
      <c r="F4" s="5" t="s">
        <v>64</v>
      </c>
      <c r="G4" s="18">
        <f t="shared" si="0"/>
        <v>1200</v>
      </c>
      <c r="H4" s="18">
        <f t="shared" si="1"/>
        <v>24000</v>
      </c>
      <c r="I4" s="5" t="str">
        <f t="shared" si="2"/>
        <v>Yes</v>
      </c>
      <c r="K4" s="5" t="s">
        <v>63</v>
      </c>
      <c r="L4" s="6" t="s">
        <v>65</v>
      </c>
      <c r="M4" s="18">
        <v>1200</v>
      </c>
    </row>
    <row r="5" spans="1:13" ht="13.5" customHeight="1" x14ac:dyDescent="0.3">
      <c r="A5" s="8" t="s">
        <v>66</v>
      </c>
      <c r="B5" s="9" t="s">
        <v>67</v>
      </c>
      <c r="C5" s="8" t="s">
        <v>68</v>
      </c>
      <c r="D5" s="8" t="s">
        <v>69</v>
      </c>
      <c r="E5" s="8">
        <v>8</v>
      </c>
      <c r="F5" s="8" t="s">
        <v>64</v>
      </c>
      <c r="G5" s="20">
        <f t="shared" si="0"/>
        <v>900</v>
      </c>
      <c r="H5" s="20">
        <f t="shared" si="1"/>
        <v>7200</v>
      </c>
      <c r="I5" s="8" t="str">
        <f t="shared" si="2"/>
        <v>No</v>
      </c>
      <c r="K5" s="8" t="s">
        <v>52</v>
      </c>
      <c r="L5" s="9" t="s">
        <v>70</v>
      </c>
      <c r="M5" s="20">
        <v>7500</v>
      </c>
    </row>
    <row r="6" spans="1:13" ht="13.5" customHeight="1" x14ac:dyDescent="0.3">
      <c r="A6" s="5" t="s">
        <v>71</v>
      </c>
      <c r="B6" s="6" t="s">
        <v>50</v>
      </c>
      <c r="C6" s="5" t="s">
        <v>51</v>
      </c>
      <c r="D6" s="5" t="s">
        <v>59</v>
      </c>
      <c r="E6" s="5">
        <v>15</v>
      </c>
      <c r="F6" s="5" t="s">
        <v>72</v>
      </c>
      <c r="G6" s="18">
        <f t="shared" si="0"/>
        <v>450</v>
      </c>
      <c r="H6" s="18">
        <f t="shared" si="1"/>
        <v>6750</v>
      </c>
      <c r="I6" s="5" t="str">
        <f t="shared" si="2"/>
        <v>No</v>
      </c>
      <c r="K6" s="5" t="s">
        <v>69</v>
      </c>
      <c r="L6" s="6" t="s">
        <v>73</v>
      </c>
      <c r="M6" s="18">
        <v>900</v>
      </c>
    </row>
    <row r="7" spans="1:13" ht="13.5" customHeight="1" x14ac:dyDescent="0.3">
      <c r="A7" s="8" t="s">
        <v>74</v>
      </c>
      <c r="B7" s="9" t="s">
        <v>75</v>
      </c>
      <c r="C7" s="8" t="s">
        <v>58</v>
      </c>
      <c r="D7" s="8" t="s">
        <v>76</v>
      </c>
      <c r="E7" s="8">
        <v>3</v>
      </c>
      <c r="F7" s="8" t="s">
        <v>72</v>
      </c>
      <c r="G7" s="20">
        <f t="shared" si="0"/>
        <v>1600</v>
      </c>
      <c r="H7" s="20">
        <f t="shared" si="1"/>
        <v>4800</v>
      </c>
      <c r="I7" s="8" t="str">
        <f t="shared" si="2"/>
        <v>No</v>
      </c>
      <c r="K7" s="8" t="s">
        <v>76</v>
      </c>
      <c r="L7" s="9" t="s">
        <v>77</v>
      </c>
      <c r="M7" s="20">
        <v>1600</v>
      </c>
    </row>
    <row r="8" spans="1:13" ht="13.5" customHeight="1" x14ac:dyDescent="0.3">
      <c r="A8" s="5" t="s">
        <v>78</v>
      </c>
      <c r="B8" s="6" t="s">
        <v>57</v>
      </c>
      <c r="C8" s="5" t="s">
        <v>58</v>
      </c>
      <c r="D8" s="5" t="s">
        <v>52</v>
      </c>
      <c r="E8" s="5">
        <v>10</v>
      </c>
      <c r="F8" s="5" t="s">
        <v>53</v>
      </c>
      <c r="G8" s="18">
        <f t="shared" si="0"/>
        <v>7500</v>
      </c>
      <c r="H8" s="18">
        <f t="shared" si="1"/>
        <v>75000</v>
      </c>
      <c r="I8" s="5" t="str">
        <f t="shared" si="2"/>
        <v>Yes</v>
      </c>
    </row>
    <row r="9" spans="1:13" ht="13.5" customHeight="1" x14ac:dyDescent="0.3">
      <c r="A9" s="8" t="s">
        <v>79</v>
      </c>
      <c r="B9" s="9" t="s">
        <v>62</v>
      </c>
      <c r="C9" s="8" t="s">
        <v>51</v>
      </c>
      <c r="D9" s="8" t="s">
        <v>63</v>
      </c>
      <c r="E9" s="8">
        <v>18</v>
      </c>
      <c r="F9" s="8" t="s">
        <v>64</v>
      </c>
      <c r="G9" s="20">
        <f t="shared" si="0"/>
        <v>1200</v>
      </c>
      <c r="H9" s="20">
        <f t="shared" si="1"/>
        <v>21600</v>
      </c>
      <c r="I9" s="8" t="str">
        <f t="shared" si="2"/>
        <v>Yes</v>
      </c>
      <c r="K9" s="13" t="s">
        <v>80</v>
      </c>
      <c r="L9" s="14" t="s">
        <v>63</v>
      </c>
    </row>
    <row r="10" spans="1:13" ht="13.5" customHeight="1" x14ac:dyDescent="0.3">
      <c r="A10" s="5" t="s">
        <v>81</v>
      </c>
      <c r="B10" s="6" t="s">
        <v>67</v>
      </c>
      <c r="C10" s="5" t="s">
        <v>68</v>
      </c>
      <c r="D10" s="5" t="s">
        <v>69</v>
      </c>
      <c r="E10" s="5">
        <v>6</v>
      </c>
      <c r="F10" s="5" t="s">
        <v>72</v>
      </c>
      <c r="G10" s="18">
        <f t="shared" si="0"/>
        <v>900</v>
      </c>
      <c r="H10" s="18">
        <f t="shared" si="1"/>
        <v>5400</v>
      </c>
      <c r="I10" s="5" t="str">
        <f t="shared" si="2"/>
        <v>No</v>
      </c>
      <c r="K10" s="13" t="s">
        <v>82</v>
      </c>
      <c r="L10" s="14">
        <f>_xlfn.XMATCH(L9,K3:K7)</f>
        <v>2</v>
      </c>
    </row>
    <row r="11" spans="1:13" ht="13.5" customHeight="1" x14ac:dyDescent="0.3">
      <c r="A11" s="8" t="s">
        <v>83</v>
      </c>
      <c r="B11" s="9" t="s">
        <v>75</v>
      </c>
      <c r="C11" s="8" t="s">
        <v>58</v>
      </c>
      <c r="D11" s="8" t="s">
        <v>76</v>
      </c>
      <c r="E11" s="8">
        <v>22</v>
      </c>
      <c r="F11" s="8" t="s">
        <v>64</v>
      </c>
      <c r="G11" s="20">
        <f t="shared" si="0"/>
        <v>1600</v>
      </c>
      <c r="H11" s="20">
        <f t="shared" si="1"/>
        <v>35200</v>
      </c>
      <c r="I11" s="8" t="str">
        <f t="shared" si="2"/>
        <v>Yes</v>
      </c>
    </row>
    <row r="12" spans="1:13" ht="19.5" customHeight="1" x14ac:dyDescent="0.3">
      <c r="K12" s="28" t="s">
        <v>84</v>
      </c>
      <c r="L12" s="28"/>
      <c r="M12" s="15"/>
    </row>
    <row r="13" spans="1:13" ht="13.5" customHeight="1" x14ac:dyDescent="0.3">
      <c r="K13" s="13" t="s">
        <v>41</v>
      </c>
      <c r="L13" s="14" t="s">
        <v>58</v>
      </c>
    </row>
    <row r="14" spans="1:13" ht="13.5" customHeight="1" x14ac:dyDescent="0.3">
      <c r="K14" s="13" t="s">
        <v>42</v>
      </c>
      <c r="L14" s="14" t="s">
        <v>59</v>
      </c>
    </row>
    <row r="15" spans="1:13" ht="13.5" customHeight="1" x14ac:dyDescent="0.3">
      <c r="K15" s="13" t="s">
        <v>46</v>
      </c>
      <c r="L15" s="21">
        <f>SUMIFS(H2:H11,C2:C11,L13,D2:D11,L14)</f>
        <v>2250</v>
      </c>
    </row>
    <row r="17" spans="11:14" ht="19.5" customHeight="1" x14ac:dyDescent="0.3">
      <c r="K17" s="28" t="s">
        <v>85</v>
      </c>
      <c r="L17" s="28"/>
      <c r="M17" s="15"/>
    </row>
    <row r="18" spans="11:14" ht="14.25" customHeight="1" x14ac:dyDescent="0.3">
      <c r="K18" s="13" t="s">
        <v>40</v>
      </c>
      <c r="L18" s="14" t="s">
        <v>62</v>
      </c>
    </row>
    <row r="19" spans="11:14" ht="13.5" customHeight="1" x14ac:dyDescent="0.3">
      <c r="K19" s="13" t="s">
        <v>46</v>
      </c>
      <c r="L19" s="21">
        <f>_xlfn.XLOOKUP(L18,B2:B11,H2:H11,"Not Found")</f>
        <v>24000</v>
      </c>
    </row>
    <row r="20" spans="11:14" ht="13.5" customHeight="1" x14ac:dyDescent="0.3">
      <c r="K20" s="22"/>
      <c r="L20" s="23"/>
    </row>
    <row r="22" spans="11:14" ht="19.5" customHeight="1" x14ac:dyDescent="0.3">
      <c r="K22" s="28" t="s">
        <v>86</v>
      </c>
      <c r="L22" s="28"/>
      <c r="M22" s="28"/>
      <c r="N22" s="28"/>
    </row>
    <row r="23" spans="11:14" ht="19.5" customHeight="1" x14ac:dyDescent="0.3">
      <c r="K23" s="19" t="s">
        <v>87</v>
      </c>
      <c r="L23" s="19" t="s">
        <v>53</v>
      </c>
      <c r="M23" s="19" t="s">
        <v>64</v>
      </c>
      <c r="N23" s="19" t="s">
        <v>72</v>
      </c>
    </row>
    <row r="24" spans="11:14" ht="13.5" customHeight="1" x14ac:dyDescent="0.3">
      <c r="K24" s="13" t="s">
        <v>50</v>
      </c>
      <c r="L24" s="18">
        <f t="shared" ref="L24:N28" si="3">SUMIFS($H$2:$H$11,$B$2:$B$11,$K24,$F$2:$F$11,L$23)</f>
        <v>90000</v>
      </c>
      <c r="M24" s="18">
        <f t="shared" si="3"/>
        <v>0</v>
      </c>
      <c r="N24" s="18">
        <f t="shared" si="3"/>
        <v>6750</v>
      </c>
    </row>
    <row r="25" spans="11:14" ht="13.5" customHeight="1" x14ac:dyDescent="0.3">
      <c r="K25" s="13" t="s">
        <v>57</v>
      </c>
      <c r="L25" s="20">
        <f t="shared" si="3"/>
        <v>77250</v>
      </c>
      <c r="M25" s="20">
        <f t="shared" si="3"/>
        <v>0</v>
      </c>
      <c r="N25" s="20">
        <f t="shared" si="3"/>
        <v>0</v>
      </c>
    </row>
    <row r="26" spans="11:14" ht="13.5" customHeight="1" x14ac:dyDescent="0.3">
      <c r="K26" s="13" t="s">
        <v>62</v>
      </c>
      <c r="L26" s="18">
        <f t="shared" si="3"/>
        <v>0</v>
      </c>
      <c r="M26" s="18">
        <f t="shared" si="3"/>
        <v>45600</v>
      </c>
      <c r="N26" s="18">
        <f t="shared" si="3"/>
        <v>0</v>
      </c>
    </row>
    <row r="27" spans="11:14" ht="13.5" customHeight="1" x14ac:dyDescent="0.3">
      <c r="K27" s="13" t="s">
        <v>67</v>
      </c>
      <c r="L27" s="20">
        <f t="shared" si="3"/>
        <v>0</v>
      </c>
      <c r="M27" s="20">
        <f t="shared" si="3"/>
        <v>7200</v>
      </c>
      <c r="N27" s="20">
        <f t="shared" si="3"/>
        <v>5400</v>
      </c>
    </row>
    <row r="28" spans="11:14" ht="13.5" customHeight="1" x14ac:dyDescent="0.3">
      <c r="K28" s="13" t="s">
        <v>75</v>
      </c>
      <c r="L28" s="18">
        <f t="shared" si="3"/>
        <v>0</v>
      </c>
      <c r="M28" s="18">
        <f t="shared" si="3"/>
        <v>35200</v>
      </c>
      <c r="N28" s="18">
        <f t="shared" si="3"/>
        <v>4800</v>
      </c>
    </row>
    <row r="30" spans="11:14" ht="19.5" customHeight="1" x14ac:dyDescent="0.3">
      <c r="K30" s="28" t="s">
        <v>88</v>
      </c>
      <c r="L30" s="28"/>
      <c r="M30" s="28"/>
    </row>
    <row r="31" spans="11:14" ht="13.5" customHeight="1" x14ac:dyDescent="0.3">
      <c r="K31" s="13" t="s">
        <v>40</v>
      </c>
      <c r="L31" s="14" t="s">
        <v>62</v>
      </c>
    </row>
    <row r="32" spans="11:14" ht="13.5" customHeight="1" x14ac:dyDescent="0.3">
      <c r="K32" s="13" t="s">
        <v>44</v>
      </c>
      <c r="L32" s="14" t="s">
        <v>64</v>
      </c>
    </row>
    <row r="33" spans="11:12" ht="13.5" customHeight="1" x14ac:dyDescent="0.3">
      <c r="K33" s="13" t="s">
        <v>89</v>
      </c>
      <c r="L33" s="21">
        <f>INDEX(L24:N28,MATCH(L31,K24:K28,0),MATCH(L32,L23:N23,0))</f>
        <v>45600</v>
      </c>
    </row>
    <row r="35" spans="11:12" ht="19.5" customHeight="1" x14ac:dyDescent="0.3">
      <c r="K35" s="28" t="s">
        <v>90</v>
      </c>
      <c r="L35" s="28"/>
    </row>
    <row r="36" spans="11:12" ht="13.5" customHeight="1" x14ac:dyDescent="0.3">
      <c r="K36" s="13" t="s">
        <v>91</v>
      </c>
      <c r="L36" s="14" t="s">
        <v>92</v>
      </c>
    </row>
    <row r="37" spans="11:12" ht="13.5" customHeight="1" x14ac:dyDescent="0.3">
      <c r="K37" s="13" t="s">
        <v>93</v>
      </c>
      <c r="L37" s="21">
        <f ca="1">SUM(INDIRECT(L36))</f>
        <v>272200</v>
      </c>
    </row>
    <row r="39" spans="11:12" ht="28" x14ac:dyDescent="0.3">
      <c r="K39" s="3" t="s">
        <v>94</v>
      </c>
      <c r="L39" s="15"/>
    </row>
    <row r="40" spans="11:12" ht="13.5" customHeight="1" x14ac:dyDescent="0.3">
      <c r="K40" s="13" t="s">
        <v>95</v>
      </c>
      <c r="L40" s="14">
        <v>4</v>
      </c>
    </row>
    <row r="41" spans="11:12" ht="13.5" customHeight="1" x14ac:dyDescent="0.3">
      <c r="K41" s="13" t="s">
        <v>96</v>
      </c>
      <c r="L41" s="21">
        <f ca="1">SUM(OFFSET(H11,-(L40-1),0,L40,1))</f>
        <v>137200</v>
      </c>
    </row>
  </sheetData>
  <mergeCells count="6">
    <mergeCell ref="K35:L35"/>
    <mergeCell ref="K1:M1"/>
    <mergeCell ref="K12:L12"/>
    <mergeCell ref="K17:L17"/>
    <mergeCell ref="K22:N22"/>
    <mergeCell ref="K30:M30"/>
  </mergeCells>
  <conditionalFormatting sqref="I2:I11">
    <cfRule type="cellIs" dxfId="1" priority="2" operator="equal">
      <formula>"Yes"</formula>
    </cfRule>
    <cfRule type="cellIs" dxfId="0" priority="3" operator="equal">
      <formula>"No"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zoomScaleNormal="100" workbookViewId="0">
      <pane ySplit="1" topLeftCell="A2" activePane="bottomLeft" state="frozen"/>
      <selection pane="bottomLeft" activeCell="O16" sqref="O16"/>
    </sheetView>
  </sheetViews>
  <sheetFormatPr defaultColWidth="8.7265625" defaultRowHeight="14" x14ac:dyDescent="0.3"/>
  <cols>
    <col min="1" max="1" width="9" style="2" customWidth="1"/>
    <col min="2" max="2" width="15" style="2" customWidth="1"/>
    <col min="3" max="3" width="12" style="2" customWidth="1"/>
    <col min="4" max="4" width="14" style="2" customWidth="1"/>
    <col min="5" max="5" width="7" style="2" customWidth="1"/>
    <col min="6" max="6" width="15" style="2" customWidth="1"/>
    <col min="7" max="7" width="12" style="2" customWidth="1"/>
    <col min="8" max="8" width="15" style="2" customWidth="1"/>
    <col min="9" max="9" width="10" style="2" customWidth="1"/>
    <col min="10" max="10" width="15" style="2" customWidth="1"/>
    <col min="11" max="11" width="14" style="2" customWidth="1"/>
    <col min="12" max="12" width="16" style="2" customWidth="1"/>
    <col min="13" max="13" width="15" style="2" customWidth="1"/>
    <col min="14" max="14" width="3" style="2" customWidth="1"/>
    <col min="15" max="15" width="26" style="2" customWidth="1"/>
    <col min="16" max="16" width="16" style="2" customWidth="1"/>
    <col min="17" max="16384" width="8.7265625" style="2"/>
  </cols>
  <sheetData>
    <row r="1" spans="1:16" ht="31.5" customHeight="1" x14ac:dyDescent="0.3">
      <c r="A1" s="1" t="s">
        <v>97</v>
      </c>
      <c r="B1" s="1" t="s">
        <v>98</v>
      </c>
      <c r="C1" s="1" t="s">
        <v>99</v>
      </c>
      <c r="D1" s="1" t="s">
        <v>2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O1" s="13" t="s">
        <v>109</v>
      </c>
      <c r="P1" s="24">
        <v>0.1</v>
      </c>
    </row>
    <row r="2" spans="1:16" ht="13.5" customHeight="1" x14ac:dyDescent="0.3">
      <c r="A2" s="5" t="s">
        <v>110</v>
      </c>
      <c r="B2" s="6" t="s">
        <v>15</v>
      </c>
      <c r="C2" s="5" t="s">
        <v>111</v>
      </c>
      <c r="D2" s="7">
        <v>33007</v>
      </c>
      <c r="E2" s="5">
        <f t="shared" ref="E2:E11" ca="1" si="0">DATEDIF(D2,TODAY(),"Y")</f>
        <v>36</v>
      </c>
      <c r="F2" s="7">
        <v>43628</v>
      </c>
      <c r="G2" s="5">
        <f t="shared" ref="G2:G11" ca="1" si="1">DATEDIF(F2,TODAY(),"Y")</f>
        <v>7</v>
      </c>
      <c r="H2" s="25">
        <f t="shared" ref="H2:H11" ca="1" si="2">TODAY()-F2</f>
        <v>2637</v>
      </c>
      <c r="I2" s="18">
        <v>68500</v>
      </c>
      <c r="J2" s="18">
        <f t="shared" ref="J2:J11" si="3">I2*$P$1</f>
        <v>6850</v>
      </c>
      <c r="K2" s="18">
        <f t="shared" ref="K2:K11" si="4">ROUND(I2*1.1,0)</f>
        <v>75350</v>
      </c>
      <c r="L2" s="18">
        <f t="shared" ref="L2:L11" si="5">CEILING(I2,500)</f>
        <v>68500</v>
      </c>
      <c r="M2" s="18">
        <f t="shared" ref="M2:M11" si="6">FLOOR(I2,500)</f>
        <v>68500</v>
      </c>
    </row>
    <row r="3" spans="1:16" ht="19.5" customHeight="1" x14ac:dyDescent="0.3">
      <c r="A3" s="8" t="s">
        <v>112</v>
      </c>
      <c r="B3" s="9" t="s">
        <v>17</v>
      </c>
      <c r="C3" s="8" t="s">
        <v>113</v>
      </c>
      <c r="D3" s="10">
        <v>34568</v>
      </c>
      <c r="E3" s="8">
        <f t="shared" ca="1" si="0"/>
        <v>32</v>
      </c>
      <c r="F3" s="10">
        <v>44259</v>
      </c>
      <c r="G3" s="8">
        <f t="shared" ca="1" si="1"/>
        <v>5</v>
      </c>
      <c r="H3" s="26">
        <f t="shared" ca="1" si="2"/>
        <v>2006</v>
      </c>
      <c r="I3" s="20">
        <v>52250</v>
      </c>
      <c r="J3" s="20">
        <f t="shared" si="3"/>
        <v>5225</v>
      </c>
      <c r="K3" s="20">
        <f t="shared" si="4"/>
        <v>57475</v>
      </c>
      <c r="L3" s="20">
        <f t="shared" si="5"/>
        <v>52500</v>
      </c>
      <c r="M3" s="20">
        <f t="shared" si="6"/>
        <v>52000</v>
      </c>
      <c r="O3" s="28" t="s">
        <v>114</v>
      </c>
      <c r="P3" s="28"/>
    </row>
    <row r="4" spans="1:16" ht="13.5" customHeight="1" x14ac:dyDescent="0.3">
      <c r="A4" s="5" t="s">
        <v>115</v>
      </c>
      <c r="B4" s="6" t="s">
        <v>19</v>
      </c>
      <c r="C4" s="5" t="s">
        <v>116</v>
      </c>
      <c r="D4" s="7">
        <v>31057</v>
      </c>
      <c r="E4" s="5">
        <f t="shared" ca="1" si="0"/>
        <v>41</v>
      </c>
      <c r="F4" s="7">
        <v>43059</v>
      </c>
      <c r="G4" s="5">
        <f t="shared" ca="1" si="1"/>
        <v>8</v>
      </c>
      <c r="H4" s="25">
        <f t="shared" ca="1" si="2"/>
        <v>3206</v>
      </c>
      <c r="I4" s="18">
        <v>91750</v>
      </c>
      <c r="J4" s="18">
        <f t="shared" si="3"/>
        <v>9175</v>
      </c>
      <c r="K4" s="18">
        <f t="shared" si="4"/>
        <v>100925</v>
      </c>
      <c r="L4" s="18">
        <f t="shared" si="5"/>
        <v>92000</v>
      </c>
      <c r="M4" s="18">
        <f t="shared" si="6"/>
        <v>91500</v>
      </c>
      <c r="O4" s="13" t="s">
        <v>117</v>
      </c>
      <c r="P4" s="14" t="s">
        <v>118</v>
      </c>
    </row>
    <row r="5" spans="1:16" ht="13.5" customHeight="1" x14ac:dyDescent="0.3">
      <c r="A5" s="8" t="s">
        <v>119</v>
      </c>
      <c r="B5" s="9" t="s">
        <v>22</v>
      </c>
      <c r="C5" s="8" t="s">
        <v>111</v>
      </c>
      <c r="D5" s="10">
        <v>35399</v>
      </c>
      <c r="E5" s="8">
        <f t="shared" ca="1" si="0"/>
        <v>29</v>
      </c>
      <c r="F5" s="10">
        <v>44774</v>
      </c>
      <c r="G5" s="8">
        <f t="shared" ca="1" si="1"/>
        <v>4</v>
      </c>
      <c r="H5" s="26">
        <f t="shared" ca="1" si="2"/>
        <v>1491</v>
      </c>
      <c r="I5" s="20">
        <v>47800</v>
      </c>
      <c r="J5" s="20">
        <f t="shared" si="3"/>
        <v>4780</v>
      </c>
      <c r="K5" s="20">
        <f t="shared" si="4"/>
        <v>52580</v>
      </c>
      <c r="L5" s="20">
        <f t="shared" si="5"/>
        <v>48000</v>
      </c>
      <c r="M5" s="20">
        <f t="shared" si="6"/>
        <v>47500</v>
      </c>
      <c r="O5" s="13" t="s">
        <v>104</v>
      </c>
      <c r="P5" s="21">
        <f>_xlfn.XLOOKUP(P4,A2:A11,I2:I11,"Not Found")</f>
        <v>61300</v>
      </c>
    </row>
    <row r="6" spans="1:16" ht="13.5" customHeight="1" x14ac:dyDescent="0.3">
      <c r="A6" s="5" t="s">
        <v>118</v>
      </c>
      <c r="B6" s="6" t="s">
        <v>24</v>
      </c>
      <c r="C6" s="5" t="s">
        <v>120</v>
      </c>
      <c r="D6" s="7">
        <v>33315</v>
      </c>
      <c r="E6" s="5">
        <f t="shared" ca="1" si="0"/>
        <v>35</v>
      </c>
      <c r="F6" s="7">
        <v>43845</v>
      </c>
      <c r="G6" s="5">
        <f t="shared" ca="1" si="1"/>
        <v>6</v>
      </c>
      <c r="H6" s="25">
        <f t="shared" ca="1" si="2"/>
        <v>2420</v>
      </c>
      <c r="I6" s="18">
        <v>61300</v>
      </c>
      <c r="J6" s="18">
        <f t="shared" si="3"/>
        <v>6130</v>
      </c>
      <c r="K6" s="18">
        <f t="shared" si="4"/>
        <v>67430</v>
      </c>
      <c r="L6" s="18">
        <f t="shared" si="5"/>
        <v>61500</v>
      </c>
      <c r="M6" s="18">
        <f t="shared" si="6"/>
        <v>61000</v>
      </c>
    </row>
    <row r="7" spans="1:16" ht="19.5" customHeight="1" x14ac:dyDescent="0.3">
      <c r="A7" s="8" t="s">
        <v>121</v>
      </c>
      <c r="B7" s="9" t="s">
        <v>27</v>
      </c>
      <c r="C7" s="8" t="s">
        <v>116</v>
      </c>
      <c r="D7" s="10">
        <v>31963</v>
      </c>
      <c r="E7" s="8">
        <f t="shared" ca="1" si="0"/>
        <v>39</v>
      </c>
      <c r="F7" s="10">
        <v>43229</v>
      </c>
      <c r="G7" s="8">
        <f t="shared" ca="1" si="1"/>
        <v>8</v>
      </c>
      <c r="H7" s="26">
        <f t="shared" ca="1" si="2"/>
        <v>3036</v>
      </c>
      <c r="I7" s="20">
        <v>85450</v>
      </c>
      <c r="J7" s="20">
        <f t="shared" si="3"/>
        <v>8545</v>
      </c>
      <c r="K7" s="20">
        <f t="shared" si="4"/>
        <v>93995</v>
      </c>
      <c r="L7" s="20">
        <f t="shared" si="5"/>
        <v>85500</v>
      </c>
      <c r="M7" s="20">
        <f t="shared" si="6"/>
        <v>85000</v>
      </c>
      <c r="O7" s="28" t="s">
        <v>122</v>
      </c>
      <c r="P7" s="28"/>
    </row>
    <row r="8" spans="1:16" ht="13.5" customHeight="1" x14ac:dyDescent="0.3">
      <c r="A8" s="5" t="s">
        <v>123</v>
      </c>
      <c r="B8" s="6" t="s">
        <v>29</v>
      </c>
      <c r="C8" s="5" t="s">
        <v>113</v>
      </c>
      <c r="D8" s="7">
        <v>36063</v>
      </c>
      <c r="E8" s="5">
        <f t="shared" ca="1" si="0"/>
        <v>27</v>
      </c>
      <c r="F8" s="7">
        <v>44984</v>
      </c>
      <c r="G8" s="5">
        <f t="shared" ca="1" si="1"/>
        <v>3</v>
      </c>
      <c r="H8" s="25">
        <f t="shared" ca="1" si="2"/>
        <v>1281</v>
      </c>
      <c r="I8" s="18">
        <v>39900</v>
      </c>
      <c r="J8" s="18">
        <f t="shared" si="3"/>
        <v>3990</v>
      </c>
      <c r="K8" s="18">
        <f t="shared" si="4"/>
        <v>43890</v>
      </c>
      <c r="L8" s="18">
        <f t="shared" si="5"/>
        <v>40000</v>
      </c>
      <c r="M8" s="18">
        <f t="shared" si="6"/>
        <v>39500</v>
      </c>
      <c r="O8" s="13" t="s">
        <v>117</v>
      </c>
      <c r="P8" s="14" t="s">
        <v>124</v>
      </c>
    </row>
    <row r="9" spans="1:16" ht="13.5" customHeight="1" x14ac:dyDescent="0.3">
      <c r="A9" s="8" t="s">
        <v>125</v>
      </c>
      <c r="B9" s="9" t="s">
        <v>32</v>
      </c>
      <c r="C9" s="8" t="s">
        <v>111</v>
      </c>
      <c r="D9" s="10">
        <v>30652</v>
      </c>
      <c r="E9" s="8">
        <f t="shared" ca="1" si="0"/>
        <v>42</v>
      </c>
      <c r="F9" s="10">
        <v>42643</v>
      </c>
      <c r="G9" s="8">
        <f t="shared" ca="1" si="1"/>
        <v>9</v>
      </c>
      <c r="H9" s="26">
        <f t="shared" ca="1" si="2"/>
        <v>3622</v>
      </c>
      <c r="I9" s="20">
        <v>98750</v>
      </c>
      <c r="J9" s="20">
        <f t="shared" si="3"/>
        <v>9875</v>
      </c>
      <c r="K9" s="20">
        <f t="shared" si="4"/>
        <v>108625</v>
      </c>
      <c r="L9" s="20">
        <f t="shared" si="5"/>
        <v>99000</v>
      </c>
      <c r="M9" s="20">
        <f t="shared" si="6"/>
        <v>98500</v>
      </c>
      <c r="O9" s="13" t="s">
        <v>126</v>
      </c>
      <c r="P9" s="14" t="str">
        <f>INDEX(C2:C11,MATCH(P8,A2:A11,0))</f>
        <v>Marketing</v>
      </c>
    </row>
    <row r="10" spans="1:16" ht="13.5" customHeight="1" x14ac:dyDescent="0.3">
      <c r="A10" s="5" t="s">
        <v>124</v>
      </c>
      <c r="B10" s="6" t="s">
        <v>35</v>
      </c>
      <c r="C10" s="5" t="s">
        <v>120</v>
      </c>
      <c r="D10" s="7">
        <v>34128</v>
      </c>
      <c r="E10" s="5">
        <f t="shared" ca="1" si="0"/>
        <v>33</v>
      </c>
      <c r="F10" s="7">
        <v>44540</v>
      </c>
      <c r="G10" s="5">
        <f t="shared" ca="1" si="1"/>
        <v>4</v>
      </c>
      <c r="H10" s="25">
        <f t="shared" ca="1" si="2"/>
        <v>1725</v>
      </c>
      <c r="I10" s="18">
        <v>55600</v>
      </c>
      <c r="J10" s="18">
        <f t="shared" si="3"/>
        <v>5560</v>
      </c>
      <c r="K10" s="18">
        <f t="shared" si="4"/>
        <v>61160</v>
      </c>
      <c r="L10" s="18">
        <f t="shared" si="5"/>
        <v>56000</v>
      </c>
      <c r="M10" s="18">
        <f t="shared" si="6"/>
        <v>55500</v>
      </c>
      <c r="O10" s="13" t="s">
        <v>127</v>
      </c>
      <c r="P10" s="27">
        <f>INDEX(F2:F11,MATCH(P8,A2:A11,0))</f>
        <v>44540</v>
      </c>
    </row>
    <row r="11" spans="1:16" ht="13.5" customHeight="1" x14ac:dyDescent="0.3">
      <c r="A11" s="8" t="s">
        <v>128</v>
      </c>
      <c r="B11" s="9" t="s">
        <v>37</v>
      </c>
      <c r="C11" s="8" t="s">
        <v>116</v>
      </c>
      <c r="D11" s="10">
        <v>32625</v>
      </c>
      <c r="E11" s="8">
        <f t="shared" ca="1" si="0"/>
        <v>37</v>
      </c>
      <c r="F11" s="10">
        <v>43573</v>
      </c>
      <c r="G11" s="8">
        <f t="shared" ca="1" si="1"/>
        <v>7</v>
      </c>
      <c r="H11" s="26">
        <f t="shared" ca="1" si="2"/>
        <v>2692</v>
      </c>
      <c r="I11" s="20">
        <v>73250</v>
      </c>
      <c r="J11" s="20">
        <f t="shared" si="3"/>
        <v>7325</v>
      </c>
      <c r="K11" s="20">
        <f t="shared" si="4"/>
        <v>80575</v>
      </c>
      <c r="L11" s="20">
        <f t="shared" si="5"/>
        <v>73500</v>
      </c>
      <c r="M11" s="20">
        <f t="shared" si="6"/>
        <v>73000</v>
      </c>
    </row>
  </sheetData>
  <mergeCells count="2">
    <mergeCell ref="O3:P3"/>
    <mergeCell ref="O7:P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Sales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LP TECH</dc:creator>
  <dc:description/>
  <cp:lastModifiedBy>LP TECH</cp:lastModifiedBy>
  <cp:revision>0</cp:revision>
  <dcterms:created xsi:type="dcterms:W3CDTF">2026-08-29T11:01:41Z</dcterms:created>
  <dcterms:modified xsi:type="dcterms:W3CDTF">2026-08-31T06:38:20Z</dcterms:modified>
  <dc:language>en-US</dc:language>
</cp:coreProperties>
</file>